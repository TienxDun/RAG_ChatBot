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6E6CD0-E9A1-44DE-BEE9-E3B16BF9C3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P15" i="1" s="1"/>
  <c r="K15" i="1"/>
  <c r="J15" i="1"/>
  <c r="L15" i="1" s="1"/>
  <c r="G15" i="1"/>
  <c r="F15" i="1"/>
  <c r="H15" i="1" s="1"/>
  <c r="C15" i="1"/>
  <c r="D15" i="1" s="1"/>
  <c r="B15" i="1"/>
</calcChain>
</file>

<file path=xl/sharedStrings.xml><?xml version="1.0" encoding="utf-8"?>
<sst xmlns="http://schemas.openxmlformats.org/spreadsheetml/2006/main" count="116" uniqueCount="29">
  <si>
    <t>VIKING VIETNAMCO.LTD</t>
  </si>
  <si>
    <t>BIÊN BẢN KIỂM HÀNG
END LINE INSPECTION</t>
  </si>
  <si>
    <t>Code:BM11/QT 13/CL01
Revison:01
Issued date:10/10/2024</t>
  </si>
  <si>
    <r>
      <t>Mã Hàng/</t>
    </r>
    <r>
      <rPr>
        <b/>
        <sz val="12"/>
        <color rgb="FF0070C0"/>
        <rFont val="Times New Roman"/>
        <family val="1"/>
      </rPr>
      <t xml:space="preserve"> </t>
    </r>
    <r>
      <rPr>
        <b/>
        <i/>
        <sz val="12"/>
        <color rgb="FF0070C0"/>
        <rFont val="Times New Roman"/>
        <family val="1"/>
      </rPr>
      <t>Style:</t>
    </r>
  </si>
  <si>
    <t>LSX:752 -- MH: 0088 342 29 V0.3</t>
  </si>
  <si>
    <r>
      <t>CHUYỀN/</t>
    </r>
    <r>
      <rPr>
        <b/>
        <i/>
        <sz val="12"/>
        <rFont val="Times New Roman"/>
        <family val="1"/>
      </rPr>
      <t xml:space="preserve"> </t>
    </r>
    <r>
      <rPr>
        <b/>
        <i/>
        <sz val="12"/>
        <color rgb="FF0070C0"/>
        <rFont val="Times New Roman"/>
        <family val="1"/>
      </rPr>
      <t>Line:</t>
    </r>
  </si>
  <si>
    <t>Daisy</t>
  </si>
  <si>
    <t>Ngày
(Date)</t>
  </si>
  <si>
    <t>Thành Phẩm
(Finished)</t>
  </si>
  <si>
    <t>Vỏ
(Shell)</t>
  </si>
  <si>
    <t>Lót thường
(Lining)</t>
  </si>
  <si>
    <t>Lót lăn
(Lining)</t>
  </si>
  <si>
    <t>SL lỗi
(Defect)</t>
  </si>
  <si>
    <t>Tỉ lệ lỗi
(Defect rate)</t>
  </si>
  <si>
    <t>Ghi chú
(Notes)</t>
  </si>
  <si>
    <t>Dính túi / The pocket lining is stuck to seam| Đứt chỉ / Broken stitches| Sụp mí /Run-off stitching| Thiếu nút</t>
  </si>
  <si>
    <t/>
  </si>
  <si>
    <t>Bỏ mũi / Skipped Stitch| Bong mép logo/ Peeling off logo| Diễu không đều| Dính túi / The pocket lining is stuck to seam| Dơ/ Dirty| Đứt chỉ / Broken stitches| Nhăn, nhíu, vặn / Wrinkles, Creases, Twisted seam| Nối chỉ không trùng/ Not match thread | Sụp mí /Run-off stitching| Thiếu bọ / Missing bartack| Thiếu nút</t>
  </si>
  <si>
    <t>Dính túi / The pocket lining is stuck to seam| Sụp mí /Run-off stitching</t>
  </si>
  <si>
    <t>Nhăn, nhíu, vặn / Wrinkles, Creases, Twisted seam| Sụp mí /Run-off stitching</t>
  </si>
  <si>
    <t>Dính túi / The pocket lining is stuck to seam| Lỏng chỉ, nhe chỉ / Loose Stitch, Thread Looseness| Nhãn ngược| Nối chỉ không trùng/ Not match thread | Sụp mí /Run-off stitching</t>
  </si>
  <si>
    <t>Đứt chỉ / Broken stitches| Nhãn dơ| Nối chỉ không trùng/ Not match thread | Sụp mí /Run-off stitching| Thiếu nút</t>
  </si>
  <si>
    <t>Tổng</t>
  </si>
  <si>
    <t>13/01/2026</t>
  </si>
  <si>
    <t>14/01/2026</t>
  </si>
  <si>
    <t>15/01/2026</t>
  </si>
  <si>
    <t>16/01/2026</t>
  </si>
  <si>
    <t>17/01/2026</t>
  </si>
  <si>
    <t>SL Sản phẩm đạt
(Quantity)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</si>
</sst>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.00_-;\-* #,##0.00_-;_-* &quot;-&quot;??_-;_-@_-"/>
  </numFmts>
  <fonts count="17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VNI-Times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sz val="12"/>
      <name val="Tahoma"/>
      <family val="2"/>
    </font>
    <font>
      <sz val="12"/>
      <color theme="1"/>
      <name val="Calibri"/>
      <family val="1"/>
      <charset val="136"/>
      <scheme val="minor"/>
    </font>
    <font>
      <sz val="10"/>
      <name val="Comic Sans MS"/>
      <family val="4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VNI-Avo"/>
    </font>
    <font>
      <b/>
      <sz val="12"/>
      <name val="Times New Roman"/>
      <family val="1"/>
    </font>
    <font>
      <b/>
      <sz val="12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4" fillId="0" borderId="0"/>
    <xf numFmtId="0" fontId="8" fillId="0" borderId="0">
      <alignment vertical="center"/>
    </xf>
    <xf numFmtId="0" fontId="1" fillId="0" borderId="0"/>
    <xf numFmtId="0" fontId="6" fillId="0" borderId="0"/>
    <xf numFmtId="0" fontId="9" fillId="0" borderId="0"/>
    <xf numFmtId="0" fontId="12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8" applyFont="1" applyAlignment="1">
      <alignment vertical="center"/>
    </xf>
    <xf numFmtId="0" fontId="13" fillId="0" borderId="0" xfId="8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8">
    <cellStyle name="Bình thường" xfId="0" builtinId="0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3 2" xfId="4" xr:uid="{00000000-0005-0000-0000-000003000000}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3" xfId="8" xr:uid="{00000000-0005-0000-0000-000008000000}"/>
    <cellStyle name="Normal 2 4" xfId="9" xr:uid="{00000000-0005-0000-0000-000009000000}"/>
    <cellStyle name="Normal 3" xfId="10" xr:uid="{00000000-0005-0000-0000-00000A000000}"/>
    <cellStyle name="Normal 3 2" xfId="11" xr:uid="{00000000-0005-0000-0000-00000B000000}"/>
    <cellStyle name="Normal 4" xfId="12" xr:uid="{00000000-0005-0000-0000-00000C000000}"/>
    <cellStyle name="Normal 4 2" xfId="13" xr:uid="{00000000-0005-0000-0000-00000D000000}"/>
    <cellStyle name="Normal 5" xfId="14" xr:uid="{00000000-0005-0000-0000-00000E000000}"/>
    <cellStyle name="Normal 6" xfId="15" xr:uid="{00000000-0005-0000-0000-00000F000000}"/>
    <cellStyle name="Percent 2" xfId="16" xr:uid="{00000000-0005-0000-0000-000010000000}"/>
    <cellStyle name="Percent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Biểu đồ tỷ lệ lỗi ngày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Thành phẩm</c:v>
          </c:tx>
          <c:spPr>
            <a:solidFill>
              <a:srgbClr val="FF7E1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0">
                  <c:v>12/01/26</c:v>
                </c:pt>
                <c:pt idx="1">
                  <c:v>13/01/2026</c:v>
                </c:pt>
                <c:pt idx="2">
                  <c:v>14/01/2026</c:v>
                </c:pt>
                <c:pt idx="3">
                  <c:v>15/01/2026</c:v>
                </c:pt>
                <c:pt idx="4">
                  <c:v>16/01/2026</c:v>
                </c:pt>
                <c:pt idx="5">
                  <c:v>17/01/2026</c:v>
                </c:pt>
                <c:pt idx="6">
                  <c:v>Tổng</c:v>
                </c:pt>
              </c:strCache>
            </c:strRef>
          </c:cat>
          <c:val>
            <c:numRef>
              <c:f>Sheet1!$D$9:$D$15</c:f>
              <c:numCache>
                <c:formatCode>General</c:formatCode>
                <c:ptCount val="7"/>
                <c:pt idx="0">
                  <c:v>4.38</c:v>
                </c:pt>
                <c:pt idx="1">
                  <c:v>8.66</c:v>
                </c:pt>
                <c:pt idx="2">
                  <c:v>7.14</c:v>
                </c:pt>
                <c:pt idx="3">
                  <c:v>5</c:v>
                </c:pt>
                <c:pt idx="4">
                  <c:v>14.71</c:v>
                </c:pt>
                <c:pt idx="5">
                  <c:v>6.09</c:v>
                </c:pt>
                <c:pt idx="6" formatCode="0.00">
                  <c:v>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3-43EB-B40D-20A463CBB8AA}"/>
            </c:ext>
          </c:extLst>
        </c:ser>
        <c:ser>
          <c:idx val="1"/>
          <c:order val="1"/>
          <c:tx>
            <c:v>Vỏ</c:v>
          </c:tx>
          <c:spPr>
            <a:solidFill>
              <a:srgbClr val="FF010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0">
                  <c:v>12/01/26</c:v>
                </c:pt>
                <c:pt idx="1">
                  <c:v>13/01/2026</c:v>
                </c:pt>
                <c:pt idx="2">
                  <c:v>14/01/2026</c:v>
                </c:pt>
                <c:pt idx="3">
                  <c:v>15/01/2026</c:v>
                </c:pt>
                <c:pt idx="4">
                  <c:v>16/01/2026</c:v>
                </c:pt>
                <c:pt idx="5">
                  <c:v>17/01/2026</c:v>
                </c:pt>
                <c:pt idx="6">
                  <c:v>Tổng</c:v>
                </c:pt>
              </c:strCache>
            </c:strRef>
          </c:cat>
          <c:val>
            <c:numRef>
              <c:f>Sheet1!$H$9:$H$15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3-43EB-B40D-20A463CBB8AA}"/>
            </c:ext>
          </c:extLst>
        </c:ser>
        <c:ser>
          <c:idx val="2"/>
          <c:order val="2"/>
          <c:tx>
            <c:v>Lót thường</c:v>
          </c:tx>
          <c:spPr>
            <a:solidFill>
              <a:srgbClr val="22B74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0">
                  <c:v>12/01/26</c:v>
                </c:pt>
                <c:pt idx="1">
                  <c:v>13/01/2026</c:v>
                </c:pt>
                <c:pt idx="2">
                  <c:v>14/01/2026</c:v>
                </c:pt>
                <c:pt idx="3">
                  <c:v>15/01/2026</c:v>
                </c:pt>
                <c:pt idx="4">
                  <c:v>16/01/2026</c:v>
                </c:pt>
                <c:pt idx="5">
                  <c:v>17/01/2026</c:v>
                </c:pt>
                <c:pt idx="6">
                  <c:v>Tổng</c:v>
                </c:pt>
              </c:strCache>
            </c:strRef>
          </c:cat>
          <c:val>
            <c:numRef>
              <c:f>Sheet1!$L$9:$L$15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3-43EB-B40D-20A463CBB8AA}"/>
            </c:ext>
          </c:extLst>
        </c:ser>
        <c:ser>
          <c:idx val="3"/>
          <c:order val="3"/>
          <c:tx>
            <c:v>Lót lăn</c:v>
          </c:tx>
          <c:spPr>
            <a:solidFill>
              <a:srgbClr val="DDDD0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0">
                  <c:v>12/01/26</c:v>
                </c:pt>
                <c:pt idx="1">
                  <c:v>13/01/2026</c:v>
                </c:pt>
                <c:pt idx="2">
                  <c:v>14/01/2026</c:v>
                </c:pt>
                <c:pt idx="3">
                  <c:v>15/01/2026</c:v>
                </c:pt>
                <c:pt idx="4">
                  <c:v>16/01/2026</c:v>
                </c:pt>
                <c:pt idx="5">
                  <c:v>17/01/2026</c:v>
                </c:pt>
                <c:pt idx="6">
                  <c:v>Tổng</c:v>
                </c:pt>
              </c:strCache>
            </c:strRef>
          </c:cat>
          <c:val>
            <c:numRef>
              <c:f>Sheet1!$P$9:$P$15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F3-43EB-B40D-20A463CBB8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eparator>
</c:separator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vert270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Tỉ lệ lỗi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0</xdr:row>
      <xdr:rowOff>202018</xdr:rowOff>
    </xdr:from>
    <xdr:to>
      <xdr:col>1</xdr:col>
      <xdr:colOff>247650</xdr:colOff>
      <xdr:row>2</xdr:row>
      <xdr:rowOff>163376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6740" y="202018"/>
          <a:ext cx="548640" cy="380458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>
    <xdr:from>
      <xdr:col>0</xdr:col>
      <xdr:colOff>9525</xdr:colOff>
      <xdr:row>17</xdr:row>
      <xdr:rowOff>0</xdr:rowOff>
    </xdr:from>
    <xdr:to>
      <xdr:col>12</xdr:col>
      <xdr:colOff>257175</xdr:colOff>
      <xdr:row>37</xdr:row>
      <xdr:rowOff>0</xdr:rowOff>
    </xdr:to>
    <xdr:graphicFrame macro="">
      <xdr:nvGraphicFramePr>
        <xdr:cNvPr id="3" name="chart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58" workbookViewId="0">
      <selection activeCell="C10" sqref="C10"/>
    </sheetView>
  </sheetViews>
  <sheetFormatPr defaultColWidth="9.08984375" defaultRowHeight="15.5"/>
  <cols>
    <col min="1" max="1" width="12.81640625" style="1" customWidth="1"/>
    <col min="2" max="2" width="10.90625" style="1" customWidth="1"/>
    <col min="3" max="3" width="11.1796875" style="1" customWidth="1"/>
    <col min="4" max="4" width="14.453125" style="1" customWidth="1"/>
    <col min="5" max="5" width="28.81640625" style="1" customWidth="1"/>
    <col min="6" max="6" width="11.1796875" style="1" customWidth="1"/>
    <col min="7" max="7" width="10" style="1" customWidth="1"/>
    <col min="8" max="8" width="15.453125" style="1" customWidth="1"/>
    <col min="9" max="9" width="31.08984375" style="1" customWidth="1"/>
    <col min="10" max="10" width="12.54296875" style="1" customWidth="1"/>
    <col min="11" max="11" width="9.08984375" style="1" customWidth="1"/>
    <col min="12" max="12" width="14.453125" style="1" customWidth="1"/>
    <col min="13" max="13" width="28.81640625" style="1" customWidth="1"/>
    <col min="14" max="14" width="12.453125" style="1" customWidth="1"/>
    <col min="15" max="15" width="11.81640625" style="1" customWidth="1"/>
    <col min="16" max="16" width="15.81640625" style="1" customWidth="1"/>
    <col min="17" max="17" width="25.90625" style="1" customWidth="1"/>
    <col min="18" max="18" width="9.08984375" style="1" customWidth="1"/>
    <col min="19" max="16384" width="9.08984375" style="1"/>
  </cols>
  <sheetData>
    <row r="1" spans="1:21" ht="17.399999999999999" customHeight="1">
      <c r="A1" s="10" t="s">
        <v>0</v>
      </c>
      <c r="B1" s="10"/>
      <c r="C1" s="10"/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 t="s">
        <v>2</v>
      </c>
      <c r="R1" s="2"/>
    </row>
    <row r="2" spans="1:21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/>
      <c r="R2" s="2"/>
    </row>
    <row r="3" spans="1:21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3"/>
      <c r="R3" s="2"/>
    </row>
    <row r="5" spans="1:21">
      <c r="A5" s="4" t="s">
        <v>3</v>
      </c>
      <c r="C5" s="1" t="s">
        <v>4</v>
      </c>
      <c r="E5" s="4" t="s">
        <v>5</v>
      </c>
      <c r="F5" s="1" t="s">
        <v>6</v>
      </c>
      <c r="I5" s="4"/>
      <c r="K5" s="4"/>
      <c r="R5" s="3"/>
      <c r="S5" s="3"/>
      <c r="T5" s="3"/>
      <c r="U5" s="3"/>
    </row>
    <row r="7" spans="1:21" ht="33.65" customHeight="1">
      <c r="A7" s="14" t="s">
        <v>7</v>
      </c>
      <c r="B7" s="14" t="s">
        <v>8</v>
      </c>
      <c r="C7" s="15"/>
      <c r="D7" s="15"/>
      <c r="E7" s="15"/>
      <c r="F7" s="14" t="s">
        <v>9</v>
      </c>
      <c r="G7" s="15"/>
      <c r="H7" s="15"/>
      <c r="I7" s="15"/>
      <c r="J7" s="14" t="s">
        <v>10</v>
      </c>
      <c r="K7" s="15"/>
      <c r="L7" s="15"/>
      <c r="M7" s="15"/>
      <c r="N7" s="14" t="s">
        <v>11</v>
      </c>
      <c r="O7" s="15"/>
      <c r="P7" s="15"/>
      <c r="Q7" s="15"/>
    </row>
    <row r="8" spans="1:21" ht="35.4" customHeight="1">
      <c r="A8" s="14"/>
      <c r="B8" s="5" t="s">
        <v>28</v>
      </c>
      <c r="C8" s="5" t="s">
        <v>12</v>
      </c>
      <c r="D8" s="5" t="s">
        <v>13</v>
      </c>
      <c r="E8" s="5" t="s">
        <v>14</v>
      </c>
      <c r="F8" s="5" t="s">
        <v>28</v>
      </c>
      <c r="G8" s="5" t="s">
        <v>12</v>
      </c>
      <c r="H8" s="5" t="s">
        <v>13</v>
      </c>
      <c r="I8" s="5" t="s">
        <v>14</v>
      </c>
      <c r="J8" s="5" t="s">
        <v>28</v>
      </c>
      <c r="K8" s="5" t="s">
        <v>12</v>
      </c>
      <c r="L8" s="5" t="s">
        <v>13</v>
      </c>
      <c r="M8" s="5" t="s">
        <v>14</v>
      </c>
      <c r="N8" s="5" t="s">
        <v>28</v>
      </c>
      <c r="O8" s="5" t="s">
        <v>12</v>
      </c>
      <c r="P8" s="5" t="s">
        <v>13</v>
      </c>
      <c r="Q8" s="5" t="s">
        <v>14</v>
      </c>
    </row>
    <row r="9" spans="1:21" ht="62">
      <c r="A9" s="9">
        <v>46357</v>
      </c>
      <c r="B9" s="8">
        <v>131</v>
      </c>
      <c r="C9" s="8">
        <v>6</v>
      </c>
      <c r="D9" s="8">
        <v>4.38</v>
      </c>
      <c r="E9" s="8" t="s">
        <v>15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  <c r="K9" s="8" t="s">
        <v>16</v>
      </c>
      <c r="L9" s="8" t="s">
        <v>16</v>
      </c>
      <c r="M9" s="8" t="s">
        <v>16</v>
      </c>
      <c r="N9" s="8" t="s">
        <v>16</v>
      </c>
      <c r="O9" s="8" t="s">
        <v>16</v>
      </c>
      <c r="P9" s="8" t="s">
        <v>16</v>
      </c>
      <c r="Q9" s="8" t="s">
        <v>16</v>
      </c>
    </row>
    <row r="10" spans="1:21" ht="170.5">
      <c r="A10" s="8" t="s">
        <v>23</v>
      </c>
      <c r="B10" s="8">
        <v>211</v>
      </c>
      <c r="C10" s="8">
        <v>20</v>
      </c>
      <c r="D10" s="8">
        <v>8.66</v>
      </c>
      <c r="E10" s="8" t="s">
        <v>17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</row>
    <row r="11" spans="1:21" ht="46.5">
      <c r="A11" s="8" t="s">
        <v>24</v>
      </c>
      <c r="B11" s="8">
        <v>52</v>
      </c>
      <c r="C11" s="8">
        <v>4</v>
      </c>
      <c r="D11" s="8">
        <v>7.14</v>
      </c>
      <c r="E11" s="8" t="s">
        <v>18</v>
      </c>
      <c r="F11" s="8" t="s">
        <v>16</v>
      </c>
      <c r="G11" s="8" t="s">
        <v>16</v>
      </c>
      <c r="H11" s="8" t="s">
        <v>16</v>
      </c>
      <c r="I11" s="8" t="s">
        <v>16</v>
      </c>
      <c r="J11" s="8" t="s">
        <v>16</v>
      </c>
      <c r="K11" s="8" t="s">
        <v>16</v>
      </c>
      <c r="L11" s="8" t="s">
        <v>16</v>
      </c>
      <c r="M11" s="8" t="s">
        <v>16</v>
      </c>
      <c r="N11" s="8" t="s">
        <v>16</v>
      </c>
      <c r="O11" s="8" t="s">
        <v>16</v>
      </c>
      <c r="P11" s="8" t="s">
        <v>16</v>
      </c>
      <c r="Q11" s="8" t="s">
        <v>16</v>
      </c>
    </row>
    <row r="12" spans="1:21" ht="46.5">
      <c r="A12" s="8" t="s">
        <v>25</v>
      </c>
      <c r="B12" s="8">
        <v>38</v>
      </c>
      <c r="C12" s="8">
        <v>2</v>
      </c>
      <c r="D12" s="8">
        <v>5</v>
      </c>
      <c r="E12" s="8" t="s">
        <v>19</v>
      </c>
      <c r="F12" s="8" t="s">
        <v>16</v>
      </c>
      <c r="G12" s="8" t="s">
        <v>16</v>
      </c>
      <c r="H12" s="8" t="s">
        <v>16</v>
      </c>
      <c r="I12" s="8" t="s">
        <v>16</v>
      </c>
      <c r="J12" s="8" t="s">
        <v>16</v>
      </c>
      <c r="K12" s="8" t="s">
        <v>16</v>
      </c>
      <c r="L12" s="8" t="s">
        <v>16</v>
      </c>
      <c r="M12" s="8" t="s">
        <v>16</v>
      </c>
      <c r="N12" s="8" t="s">
        <v>16</v>
      </c>
      <c r="O12" s="8" t="s">
        <v>16</v>
      </c>
      <c r="P12" s="8" t="s">
        <v>16</v>
      </c>
      <c r="Q12" s="8" t="s">
        <v>16</v>
      </c>
    </row>
    <row r="13" spans="1:21" ht="108.5">
      <c r="A13" s="8" t="s">
        <v>26</v>
      </c>
      <c r="B13" s="8">
        <v>87</v>
      </c>
      <c r="C13" s="8">
        <v>15</v>
      </c>
      <c r="D13" s="8">
        <v>14.71</v>
      </c>
      <c r="E13" s="8" t="s">
        <v>20</v>
      </c>
      <c r="F13" s="8" t="s">
        <v>16</v>
      </c>
      <c r="G13" s="8" t="s">
        <v>16</v>
      </c>
      <c r="H13" s="8" t="s">
        <v>16</v>
      </c>
      <c r="I13" s="8" t="s">
        <v>16</v>
      </c>
      <c r="J13" s="8" t="s">
        <v>16</v>
      </c>
      <c r="K13" s="8" t="s">
        <v>16</v>
      </c>
      <c r="L13" s="8" t="s">
        <v>16</v>
      </c>
      <c r="M13" s="8" t="s">
        <v>16</v>
      </c>
      <c r="N13" s="8" t="s">
        <v>16</v>
      </c>
      <c r="O13" s="8" t="s">
        <v>16</v>
      </c>
      <c r="P13" s="8" t="s">
        <v>16</v>
      </c>
      <c r="Q13" s="8" t="s">
        <v>16</v>
      </c>
    </row>
    <row r="14" spans="1:21" ht="62">
      <c r="A14" s="8" t="s">
        <v>27</v>
      </c>
      <c r="B14" s="8">
        <v>108</v>
      </c>
      <c r="C14" s="8">
        <v>7</v>
      </c>
      <c r="D14" s="8">
        <v>6.09</v>
      </c>
      <c r="E14" s="8" t="s">
        <v>21</v>
      </c>
      <c r="F14" s="8" t="s">
        <v>16</v>
      </c>
      <c r="G14" s="8" t="s">
        <v>16</v>
      </c>
      <c r="H14" s="8" t="s">
        <v>16</v>
      </c>
      <c r="I14" s="8" t="s">
        <v>16</v>
      </c>
      <c r="J14" s="8" t="s">
        <v>16</v>
      </c>
      <c r="K14" s="8" t="s">
        <v>16</v>
      </c>
      <c r="L14" s="8" t="s">
        <v>16</v>
      </c>
      <c r="M14" s="8" t="s">
        <v>16</v>
      </c>
      <c r="N14" s="8" t="s">
        <v>16</v>
      </c>
      <c r="O14" s="8" t="s">
        <v>16</v>
      </c>
      <c r="P14" s="8" t="s">
        <v>16</v>
      </c>
      <c r="Q14" s="8" t="s">
        <v>16</v>
      </c>
    </row>
    <row r="15" spans="1:21">
      <c r="A15" s="6" t="s">
        <v>22</v>
      </c>
      <c r="B15" s="6">
        <f>SUM(B9:B14)</f>
        <v>627</v>
      </c>
      <c r="C15" s="6">
        <f>SUM(C9:C14)</f>
        <v>54</v>
      </c>
      <c r="D15" s="7">
        <f>IF((B15+C15)=0,0,ROUND(C15*100/(B15+C15),2))</f>
        <v>7.93</v>
      </c>
      <c r="E15" s="6" t="s">
        <v>16</v>
      </c>
      <c r="F15" s="6">
        <f>SUM(F9:F14)</f>
        <v>0</v>
      </c>
      <c r="G15" s="6">
        <f>SUM(G9:G14)</f>
        <v>0</v>
      </c>
      <c r="H15" s="7">
        <f>IF((F15+G15)=0,0,ROUND(G15*100/(F15+G15),2))</f>
        <v>0</v>
      </c>
      <c r="I15" s="6" t="s">
        <v>16</v>
      </c>
      <c r="J15" s="6">
        <f>SUM(J9:J14)</f>
        <v>0</v>
      </c>
      <c r="K15" s="6">
        <f>SUM(K9:K14)</f>
        <v>0</v>
      </c>
      <c r="L15" s="7">
        <f>IF((J15+K15)=0,0,ROUND(K15*100/(J15+K15),2))</f>
        <v>0</v>
      </c>
      <c r="M15" s="6" t="s">
        <v>16</v>
      </c>
      <c r="N15" s="6">
        <f>SUM(N9:N14)</f>
        <v>0</v>
      </c>
      <c r="O15" s="6">
        <f>SUM(O9:O14)</f>
        <v>0</v>
      </c>
      <c r="P15" s="7">
        <f>IF((N15+O15)=0,0,ROUND(O15*100/(N15+O15),2))</f>
        <v>0</v>
      </c>
      <c r="Q15" s="6" t="s">
        <v>16</v>
      </c>
    </row>
  </sheetData>
  <mergeCells count="8">
    <mergeCell ref="A1:C3"/>
    <mergeCell ref="D1:P3"/>
    <mergeCell ref="Q1:Q3"/>
    <mergeCell ref="N7:Q7"/>
    <mergeCell ref="A7:A8"/>
    <mergeCell ref="F7:I7"/>
    <mergeCell ref="B7:E7"/>
    <mergeCell ref="J7:M7"/>
  </mergeCells>
  <pageMargins left="0.7" right="0.7" top="0.75" bottom="0.75" header="0.3" footer="0.3"/>
  <pageSetup paperSize="261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Nguyễn Mạnh Tuấn</cp:lastModifiedBy>
  <dcterms:created xsi:type="dcterms:W3CDTF">2025-12-01T01:11:14Z</dcterms:created>
  <dcterms:modified xsi:type="dcterms:W3CDTF">2026-05-26T09:26:59Z</dcterms:modified>
</cp:coreProperties>
</file>